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DE2CB34C-568D-4A2B-A5B4-83FC7BC3436F}" xr6:coauthVersionLast="47" xr6:coauthVersionMax="47" xr10:uidLastSave="{00000000-0000-0000-0000-000000000000}"/>
  <workbookProtection workbookAlgorithmName="SHA-512" workbookHashValue="0Nz30IdaeXpB7Y0ciOHFJObHnjagUwgLVf/Sz8/Q+neCUKxloggYwWxNuIwPEwPAK0AJ2Z2D4LimApLtqvpeTw==" workbookSaltValue="Kutvr5ZAMO96jKn2NJIUWw==" workbookSpinCount="100000" lockStructure="1"/>
  <bookViews>
    <workbookView xWindow="-110" yWindow="-110" windowWidth="19420" windowHeight="10300" activeTab="2" xr2:uid="{00000000-000D-0000-FFFF-FFFF00000000}"/>
  </bookViews>
  <sheets>
    <sheet name="Raw_Data" sheetId="1" r:id="rId1"/>
    <sheet name="Cleaned_Data" sheetId="4" r:id="rId2"/>
    <sheet name="EDC" sheetId="2" r:id="rId3"/>
    <sheet name="Cheques" sheetId="3" r:id="rId4"/>
  </sheets>
  <definedNames>
    <definedName name="ExternalData_1" localSheetId="1" hidden="1">Cleaned_Data!$A$1:$H$21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2" l="1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J28" i="2"/>
  <c r="K28" i="2" s="1"/>
  <c r="J29" i="2"/>
  <c r="K29" i="2" s="1"/>
  <c r="J30" i="2"/>
  <c r="K30" i="2" s="1"/>
  <c r="J31" i="2"/>
  <c r="K31" i="2" s="1"/>
  <c r="J12" i="2"/>
  <c r="K1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1402942-5274-4562-8D97-E6EDCDF9BCE4}" keepAlive="1" name="Query - Table1" description="Connection to the 'Table1' query in the workbook." type="5" refreshedVersion="7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<sst xmlns="http://schemas.openxmlformats.org/spreadsheetml/2006/main" count="397" uniqueCount="83">
  <si>
    <t>DATE</t>
  </si>
  <si>
    <t>CODE</t>
  </si>
  <si>
    <t>DESCRIPTION</t>
  </si>
  <si>
    <t>TYPE</t>
  </si>
  <si>
    <t>DOCUMENT</t>
  </si>
  <si>
    <t>BRANCH</t>
  </si>
  <si>
    <t>AMOUNT</t>
  </si>
  <si>
    <t>BALANCE</t>
  </si>
  <si>
    <t>T001</t>
  </si>
  <si>
    <t>POS Payment</t>
  </si>
  <si>
    <t>C</t>
  </si>
  <si>
    <t>DOC0001</t>
  </si>
  <si>
    <t>Abuja</t>
  </si>
  <si>
    <t>T002</t>
  </si>
  <si>
    <t>ATM Withdrawal</t>
  </si>
  <si>
    <t>D</t>
  </si>
  <si>
    <t>DOC0002</t>
  </si>
  <si>
    <t>Lagos</t>
  </si>
  <si>
    <t>T003</t>
  </si>
  <si>
    <t>Transfer</t>
  </si>
  <si>
    <t>DOC0003</t>
  </si>
  <si>
    <t>T004</t>
  </si>
  <si>
    <t>Deposit</t>
  </si>
  <si>
    <t>DOC0004</t>
  </si>
  <si>
    <t>T005</t>
  </si>
  <si>
    <t>DOC0005</t>
  </si>
  <si>
    <t>T006</t>
  </si>
  <si>
    <t>DOC0006</t>
  </si>
  <si>
    <t>T007</t>
  </si>
  <si>
    <t>DOC0007</t>
  </si>
  <si>
    <t>T008</t>
  </si>
  <si>
    <t>DOC0008</t>
  </si>
  <si>
    <t>Port Harcourt</t>
  </si>
  <si>
    <t>T009</t>
  </si>
  <si>
    <t>DOC0009</t>
  </si>
  <si>
    <t>T010</t>
  </si>
  <si>
    <t>DOC0010</t>
  </si>
  <si>
    <t>T011</t>
  </si>
  <si>
    <t>DOC0011</t>
  </si>
  <si>
    <t>T012</t>
  </si>
  <si>
    <t>DOC0012</t>
  </si>
  <si>
    <t>T013</t>
  </si>
  <si>
    <t>DOC0013</t>
  </si>
  <si>
    <t>T014</t>
  </si>
  <si>
    <t>DOC0014</t>
  </si>
  <si>
    <t>T015</t>
  </si>
  <si>
    <t>DOC0015</t>
  </si>
  <si>
    <t>EXPECTED BALANCE</t>
  </si>
  <si>
    <t>VERIFICATION</t>
  </si>
  <si>
    <t>CHEQUE NUMBER</t>
  </si>
  <si>
    <t>BENEFICIARY</t>
  </si>
  <si>
    <t>STATUS</t>
  </si>
  <si>
    <t>CHQ0001</t>
  </si>
  <si>
    <t>Michael Brown</t>
  </si>
  <si>
    <t>Paid</t>
  </si>
  <si>
    <t>CHQ0002</t>
  </si>
  <si>
    <t>Pending</t>
  </si>
  <si>
    <t>CHQ0003</t>
  </si>
  <si>
    <t>Sarah Johnson</t>
  </si>
  <si>
    <t>CHQ0004</t>
  </si>
  <si>
    <t>CHQ0005</t>
  </si>
  <si>
    <t>John Doe</t>
  </si>
  <si>
    <t>CHQ0006</t>
  </si>
  <si>
    <t>CHQ0007</t>
  </si>
  <si>
    <t>CHQ0008</t>
  </si>
  <si>
    <t>CHQ0009</t>
  </si>
  <si>
    <t>CHQ0010</t>
  </si>
  <si>
    <t>COMPANY</t>
  </si>
  <si>
    <t>BANK</t>
  </si>
  <si>
    <t>ACCOUNT</t>
  </si>
  <si>
    <t>TIN</t>
  </si>
  <si>
    <t>JP Enterprise</t>
  </si>
  <si>
    <t>GTBank</t>
  </si>
  <si>
    <r>
      <rPr>
        <b/>
        <sz val="12"/>
        <color theme="0"/>
        <rFont val="Calibri"/>
        <family val="2"/>
        <scheme val="minor"/>
      </rPr>
      <t>BANK STATEMENT INFO</t>
    </r>
    <r>
      <rPr>
        <b/>
        <sz val="11"/>
        <color theme="0"/>
        <rFont val="Calibri"/>
        <family val="2"/>
        <scheme val="minor"/>
      </rPr>
      <t xml:space="preserve"> </t>
    </r>
  </si>
  <si>
    <t>T016</t>
  </si>
  <si>
    <t>T017</t>
  </si>
  <si>
    <t>T018</t>
  </si>
  <si>
    <t>T019</t>
  </si>
  <si>
    <t>DOC0016</t>
  </si>
  <si>
    <t>DOC0017</t>
  </si>
  <si>
    <t>DOC0018</t>
  </si>
  <si>
    <t>DOC0019</t>
  </si>
  <si>
    <t>T020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</si>
</sst>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yyyy\-mm\-dd\ hh:mm:ss"/>
  </numFmts>
  <fonts count="1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2" fillId="2" borderId="2" applyNumberFormat="0" applyAlignment="0" applyProtection="0"/>
    <xf numFmtId="0" fontId="3" fillId="3" borderId="3" applyNumberFormat="0" applyAlignment="0" applyProtection="0"/>
    <xf numFmtId="0" fontId="5" fillId="0" borderId="0" applyNumberFormat="0" applyFill="0" applyBorder="0" applyAlignment="0" applyProtection="0"/>
  </cellStyleXfs>
  <cellXfs count="20">
    <xf numFmtId="0" fontId="0" fillId="0" borderId="0" xfId="0"/>
    <xf numFmtId="165" fontId="0" fillId="0" borderId="0" xfId="0" applyNumberFormat="1"/>
    <xf numFmtId="0" fontId="1" fillId="0" borderId="4" xfId="0" applyFont="1" applyBorder="1" applyAlignment="1">
      <alignment horizontal="center" vertical="top"/>
    </xf>
    <xf numFmtId="14" fontId="0" fillId="0" borderId="0" xfId="0" applyNumberFormat="1"/>
    <xf numFmtId="0" fontId="0" fillId="0" borderId="0" xfId="0" applyNumberFormat="1"/>
    <xf numFmtId="0" fontId="6" fillId="0" borderId="0" xfId="0" applyFont="1"/>
    <xf numFmtId="0" fontId="3" fillId="3" borderId="3" xfId="2"/>
    <xf numFmtId="0" fontId="2" fillId="2" borderId="2" xfId="1"/>
    <xf numFmtId="0" fontId="8" fillId="0" borderId="1" xfId="0" applyFont="1" applyBorder="1" applyAlignment="1">
      <alignment horizontal="center" vertical="top"/>
    </xf>
    <xf numFmtId="0" fontId="7" fillId="0" borderId="0" xfId="0" applyFont="1"/>
    <xf numFmtId="0" fontId="0" fillId="4" borderId="0" xfId="0" applyFill="1"/>
    <xf numFmtId="0" fontId="4" fillId="4" borderId="0" xfId="0" applyFont="1" applyFill="1"/>
    <xf numFmtId="0" fontId="0" fillId="5" borderId="0" xfId="0" applyFill="1"/>
    <xf numFmtId="14" fontId="1" fillId="0" borderId="4" xfId="0" applyNumberFormat="1" applyFont="1" applyBorder="1" applyAlignment="1">
      <alignment horizontal="center" vertical="top"/>
    </xf>
    <xf numFmtId="0" fontId="5" fillId="2" borderId="2" xfId="3" applyFill="1" applyBorder="1"/>
    <xf numFmtId="14" fontId="0" fillId="0" borderId="0" xfId="0" applyNumberFormat="1" applyFill="1"/>
    <xf numFmtId="0" fontId="0" fillId="0" borderId="0" xfId="0" applyFill="1"/>
    <xf numFmtId="0" fontId="0" fillId="6" borderId="0" xfId="0" applyFill="1"/>
    <xf numFmtId="165" fontId="12" fillId="0" borderId="0" xfId="0" applyNumberFormat="1" applyFont="1" applyBorder="1" applyAlignment="1">
      <alignment horizontal="center" vertical="top"/>
    </xf>
    <xf numFmtId="0" fontId="12" fillId="0" borderId="0" xfId="0" applyFont="1" applyBorder="1" applyAlignment="1">
      <alignment horizontal="center" vertical="top"/>
    </xf>
  </cellXfs>
  <cellStyles count="4">
    <cellStyle name="Explanatory Text" xfId="3" builtinId="53"/>
    <cellStyle name="Input" xfId="1" builtinId="20"/>
    <cellStyle name="Normal" xfId="0" builtinId="0"/>
    <cellStyle name="Output" xfId="2" builtinId="21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9" formatCode="dd/mm/yyyy"/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yyyy\-mm\-dd\ hh:mm:ss"/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0</xdr:row>
          <xdr:rowOff>50800</xdr:rowOff>
        </xdr:from>
        <xdr:to>
          <xdr:col>5</xdr:col>
          <xdr:colOff>1104900</xdr:colOff>
          <xdr:row>0</xdr:row>
          <xdr:rowOff>273050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G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Cleaned_Data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</xdr:colOff>
          <xdr:row>0</xdr:row>
          <xdr:rowOff>38100</xdr:rowOff>
        </xdr:from>
        <xdr:to>
          <xdr:col>6</xdr:col>
          <xdr:colOff>1187450</xdr:colOff>
          <xdr:row>0</xdr:row>
          <xdr:rowOff>266700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G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New Transaction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</xdr:colOff>
          <xdr:row>0</xdr:row>
          <xdr:rowOff>38100</xdr:rowOff>
        </xdr:from>
        <xdr:to>
          <xdr:col>7</xdr:col>
          <xdr:colOff>1009650</xdr:colOff>
          <xdr:row>0</xdr:row>
          <xdr:rowOff>266700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G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Balance Verification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0</xdr:row>
          <xdr:rowOff>38100</xdr:rowOff>
        </xdr:from>
        <xdr:to>
          <xdr:col>8</xdr:col>
          <xdr:colOff>977900</xdr:colOff>
          <xdr:row>0</xdr:row>
          <xdr:rowOff>260350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G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Cheque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</xdr:colOff>
          <xdr:row>2</xdr:row>
          <xdr:rowOff>12700</xdr:rowOff>
        </xdr:from>
        <xdr:to>
          <xdr:col>3</xdr:col>
          <xdr:colOff>1104900</xdr:colOff>
          <xdr:row>3</xdr:row>
          <xdr:rowOff>12700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</xdr:row>
          <xdr:rowOff>6350</xdr:rowOff>
        </xdr:from>
        <xdr:to>
          <xdr:col>3</xdr:col>
          <xdr:colOff>1054100</xdr:colOff>
          <xdr:row>4</xdr:row>
          <xdr:rowOff>6350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9ED102D-87A7-490A-A321-9AC533F7E126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CODE" tableColumnId="2"/>
      <queryTableField id="3" name="DESCRIPTION" tableColumnId="3"/>
      <queryTableField id="4" name="TYPE" tableColumnId="4"/>
      <queryTableField id="5" name="DOCUMENT" tableColumnId="5"/>
      <queryTableField id="6" name="BRANCH" tableColumnId="6"/>
      <queryTableField id="7" name="AMOUNT" tableColumnId="7"/>
      <queryTableField id="8" name="BALANC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804710-372B-4D44-90CE-F945A4C40F7C}" name="Table1" displayName="Table1" ref="A1:H21" totalsRowShown="0" headerRowDxfId="26" headerRowBorderDxfId="28" tableBorderDxfId="29">
  <autoFilter ref="A1:H21" xr:uid="{96804710-372B-4D44-90CE-F945A4C40F7C}"/>
  <sortState xmlns:xlrd2="http://schemas.microsoft.com/office/spreadsheetml/2017/richdata2" ref="A2:H21">
    <sortCondition descending="1" ref="A1:A21"/>
  </sortState>
  <tableColumns count="8">
    <tableColumn id="1" xr3:uid="{87DBB035-5683-4C04-A940-0D222839A238}" name="DATE" dataDxfId="27"/>
    <tableColumn id="2" xr3:uid="{899492F3-AE46-466B-BBFB-261A8DD61E99}" name="CODE"/>
    <tableColumn id="3" xr3:uid="{D7A3ABB7-0F57-4C6A-95D7-F6FADFF6E584}" name="DESCRIPTION"/>
    <tableColumn id="4" xr3:uid="{1B36F375-AD9B-4292-8F42-1E1A214CB060}" name="TYPE"/>
    <tableColumn id="5" xr3:uid="{AFE6F496-AA6F-49BB-A3B9-C455723083DF}" name="DOCUMENT"/>
    <tableColumn id="6" xr3:uid="{57B6FAB4-45A7-41CE-8D9E-B2B5953AFD9F}" name="BRANCH"/>
    <tableColumn id="7" xr3:uid="{06730F6F-022C-4031-926B-C2232D237DEC}" name="AMOUNT"/>
    <tableColumn id="8" xr3:uid="{8FB2633B-5C8B-43C0-B58C-FC608CA4339A}" name="BALANC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B20590-039A-46B6-A9CC-855C2ECC4E90}" name="Table1_2" displayName="Table1_2" ref="A1:H21" tableType="queryTable" totalsRowShown="0">
  <autoFilter ref="A1:H21" xr:uid="{B0B20590-039A-46B6-A9CC-855C2ECC4E90}"/>
  <tableColumns count="8">
    <tableColumn id="1" xr3:uid="{53882718-3D6E-40BF-B844-56071AF3D61E}" uniqueName="1" name="DATE" queryTableFieldId="1" dataDxfId="5"/>
    <tableColumn id="2" xr3:uid="{0C4933C7-2079-484E-BE00-9375747CA5CD}" uniqueName="2" name="CODE" queryTableFieldId="2" dataDxfId="4"/>
    <tableColumn id="3" xr3:uid="{98805E5E-0426-43F3-B257-22E41DF86D35}" uniqueName="3" name="DESCRIPTION" queryTableFieldId="3" dataDxfId="3"/>
    <tableColumn id="4" xr3:uid="{FF6F4E6F-DA6B-4D1E-A45F-192AFAAB1A95}" uniqueName="4" name="TYPE" queryTableFieldId="4" dataDxfId="2"/>
    <tableColumn id="5" xr3:uid="{920786B4-5574-4AAB-9AE2-F556D5C034CE}" uniqueName="5" name="DOCUMENT" queryTableFieldId="5" dataDxfId="1"/>
    <tableColumn id="6" xr3:uid="{DC02A542-AB77-4401-BB90-FA8D9C72C083}" uniqueName="6" name="BRANCH" queryTableFieldId="6" dataDxfId="0"/>
    <tableColumn id="7" xr3:uid="{25AFCB73-B27D-40F4-BE2A-365B3AA14139}" uniqueName="7" name="AMOUNT" queryTableFieldId="7"/>
    <tableColumn id="8" xr3:uid="{6C793A68-4B13-40F0-9E56-2E19F8A94C43}" uniqueName="8" name="BALANCE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6224E0-2089-4624-B94B-6A2EDB10BC37}" name="Table3" displayName="Table3" ref="B11:M31" totalsRowShown="0" headerRowDxfId="25" dataDxfId="8">
  <autoFilter ref="B11:M31" xr:uid="{236224E0-2089-4624-B94B-6A2EDB10BC37}"/>
  <sortState xmlns:xlrd2="http://schemas.microsoft.com/office/spreadsheetml/2017/richdata2" ref="B12:M31">
    <sortCondition descending="1" ref="B12:B31"/>
  </sortState>
  <tableColumns count="12">
    <tableColumn id="1" xr3:uid="{8E473558-E434-4DF6-99D7-A55D7C213D7E}" name="DATE" dataDxfId="20"/>
    <tableColumn id="2" xr3:uid="{367B4147-532F-4321-A81D-44EB203527F3}" name="CODE" dataDxfId="19"/>
    <tableColumn id="3" xr3:uid="{AA24BDDC-5FFC-4688-A685-24877A8B5D2F}" name="DESCRIPTION" dataDxfId="18"/>
    <tableColumn id="4" xr3:uid="{A7B10017-B0C8-4293-92CB-FCC209967334}" name="TYPE" dataDxfId="17"/>
    <tableColumn id="5" xr3:uid="{ECEA8F2D-38A4-447D-BF8C-F114535DF48B}" name="DOCUMENT" dataDxfId="16"/>
    <tableColumn id="6" xr3:uid="{A27887FE-3057-42BF-903A-393B5444BF52}" name="BRANCH" dataDxfId="15"/>
    <tableColumn id="7" xr3:uid="{30F1894A-ABE9-4123-9668-5656236BDBA4}" name="AMOUNT" dataDxfId="14"/>
    <tableColumn id="8" xr3:uid="{BDA8A51C-D145-41A0-91E8-7EB09D23D39F}" name="BALANCE" dataDxfId="13"/>
    <tableColumn id="9" xr3:uid="{C2E5BEB0-6AE4-4AAE-9020-C479BCA0A0E5}" name="EXPECTED BALANCE" dataDxfId="12">
      <calculatedColumnFormula>IF(E12="D", I12-H12, IF(E12="C", I12+H12, "Check Type"))</calculatedColumnFormula>
    </tableColumn>
    <tableColumn id="10" xr3:uid="{FB31B788-B931-4869-A3E4-CC0BBE562744}" name="VERIFICATION" dataDxfId="11">
      <calculatedColumnFormula>IF(ABS(I12-J12)&lt;0.01, "True", "False")</calculatedColumnFormula>
    </tableColumn>
    <tableColumn id="11" xr3:uid="{FD4574E6-D25C-40E6-BDDF-410E0069F6D4}" name="CHEQUE NUMBER" dataDxfId="10"/>
    <tableColumn id="101" xr3:uid="{FCF83F00-ECD3-4E83-947C-1E7886705907}" name="BENEFICIARY" dataDxfId="9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4CDDF1-C1FA-4EA3-8A40-CA6A483AF564}" name="Table4" displayName="Table4" ref="A10:E20" totalsRowShown="0" headerRowDxfId="21" headerRowBorderDxfId="23" tableBorderDxfId="24">
  <autoFilter ref="A10:E20" xr:uid="{4E4CDDF1-C1FA-4EA3-8A40-CA6A483AF564}"/>
  <sortState xmlns:xlrd2="http://schemas.microsoft.com/office/spreadsheetml/2017/richdata2" ref="A11:E20">
    <sortCondition descending="1" ref="B10:B20"/>
  </sortState>
  <tableColumns count="5">
    <tableColumn id="1" xr3:uid="{62E0D2A2-2073-4F5D-8F4B-0195DA79612B}" name="DATE" dataDxfId="22"/>
    <tableColumn id="2" xr3:uid="{51174987-68ED-4E1E-B34A-17714CF64C4A}" name="CHEQUE NUMBER"/>
    <tableColumn id="3" xr3:uid="{7C16348C-4EF6-46E1-8F30-1E4A82447145}" name="BENEFICIARY"/>
    <tableColumn id="4" xr3:uid="{7B5E4209-9840-45EB-952E-052859ED551D}" name="AMOUNT"/>
    <tableColumn id="5" xr3:uid="{5141C9A6-999D-4327-A844-168C55B4BAEF}" name="STATUS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1"/>
  <sheetViews>
    <sheetView workbookViewId="0">
      <selection activeCell="H2" sqref="H2"/>
    </sheetView>
  </sheetViews>
  <sheetFormatPr defaultRowHeight="14.5" x14ac:dyDescent="0.35"/>
  <cols>
    <col min="1" max="1" width="17.81640625" bestFit="1" customWidth="1"/>
    <col min="2" max="2" width="7.54296875" customWidth="1"/>
    <col min="3" max="3" width="15" bestFit="1" customWidth="1"/>
    <col min="4" max="4" width="6.90625" customWidth="1"/>
    <col min="5" max="5" width="12.81640625" customWidth="1"/>
    <col min="6" max="6" width="12.08984375" bestFit="1" customWidth="1"/>
    <col min="7" max="7" width="10.6328125" customWidth="1"/>
    <col min="8" max="8" width="10.453125" customWidth="1"/>
  </cols>
  <sheetData>
    <row r="1" spans="1:8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35">
      <c r="A2" s="18">
        <v>45677</v>
      </c>
      <c r="B2" s="19" t="s">
        <v>82</v>
      </c>
      <c r="C2" s="19" t="s">
        <v>9</v>
      </c>
      <c r="D2" s="19" t="s">
        <v>15</v>
      </c>
      <c r="E2" s="19" t="s">
        <v>81</v>
      </c>
      <c r="F2" s="19" t="s">
        <v>17</v>
      </c>
      <c r="G2" s="19">
        <v>440</v>
      </c>
      <c r="H2" s="19">
        <v>100</v>
      </c>
    </row>
    <row r="3" spans="1:8" x14ac:dyDescent="0.35">
      <c r="A3" s="1">
        <v>45676</v>
      </c>
      <c r="B3" t="s">
        <v>77</v>
      </c>
      <c r="C3" t="s">
        <v>22</v>
      </c>
      <c r="D3" t="s">
        <v>10</v>
      </c>
      <c r="E3" t="s">
        <v>81</v>
      </c>
      <c r="F3" t="s">
        <v>12</v>
      </c>
      <c r="G3">
        <v>2419.19</v>
      </c>
      <c r="H3">
        <v>694.6</v>
      </c>
    </row>
    <row r="4" spans="1:8" x14ac:dyDescent="0.35">
      <c r="A4" s="1">
        <v>45675</v>
      </c>
      <c r="B4" t="s">
        <v>76</v>
      </c>
      <c r="C4" t="s">
        <v>9</v>
      </c>
      <c r="D4" t="s">
        <v>10</v>
      </c>
      <c r="E4" t="s">
        <v>80</v>
      </c>
      <c r="F4" t="s">
        <v>32</v>
      </c>
      <c r="G4">
        <v>2249.19</v>
      </c>
      <c r="H4">
        <v>-3576.7</v>
      </c>
    </row>
    <row r="5" spans="1:8" x14ac:dyDescent="0.35">
      <c r="A5" s="1">
        <v>45674</v>
      </c>
      <c r="B5" t="s">
        <v>75</v>
      </c>
      <c r="C5" t="s">
        <v>22</v>
      </c>
      <c r="D5" t="s">
        <v>10</v>
      </c>
      <c r="E5" t="s">
        <v>79</v>
      </c>
      <c r="F5" t="s">
        <v>12</v>
      </c>
      <c r="G5">
        <v>250.19</v>
      </c>
      <c r="H5">
        <v>356.6</v>
      </c>
    </row>
    <row r="6" spans="1:8" x14ac:dyDescent="0.35">
      <c r="A6" s="1">
        <v>45673</v>
      </c>
      <c r="B6" t="s">
        <v>74</v>
      </c>
      <c r="C6" t="s">
        <v>14</v>
      </c>
      <c r="D6" t="s">
        <v>10</v>
      </c>
      <c r="E6" t="s">
        <v>78</v>
      </c>
      <c r="F6" t="s">
        <v>17</v>
      </c>
      <c r="G6">
        <v>249.2</v>
      </c>
      <c r="H6">
        <v>888.8</v>
      </c>
    </row>
    <row r="7" spans="1:8" x14ac:dyDescent="0.35">
      <c r="A7" s="1">
        <v>45672</v>
      </c>
      <c r="B7" t="s">
        <v>45</v>
      </c>
      <c r="C7" t="s">
        <v>22</v>
      </c>
      <c r="D7" t="s">
        <v>10</v>
      </c>
      <c r="E7" t="s">
        <v>46</v>
      </c>
      <c r="F7" t="s">
        <v>12</v>
      </c>
      <c r="G7">
        <v>249.19</v>
      </c>
      <c r="H7">
        <v>-390.92</v>
      </c>
    </row>
    <row r="8" spans="1:8" x14ac:dyDescent="0.35">
      <c r="A8" s="1">
        <v>45671</v>
      </c>
      <c r="B8" t="s">
        <v>43</v>
      </c>
      <c r="C8" t="s">
        <v>14</v>
      </c>
      <c r="D8" t="s">
        <v>15</v>
      </c>
      <c r="E8" t="s">
        <v>44</v>
      </c>
      <c r="F8" t="s">
        <v>12</v>
      </c>
      <c r="G8">
        <v>346.59</v>
      </c>
      <c r="H8">
        <v>2478.4899999999998</v>
      </c>
    </row>
    <row r="9" spans="1:8" x14ac:dyDescent="0.35">
      <c r="A9" s="1">
        <v>45670</v>
      </c>
      <c r="B9" t="s">
        <v>41</v>
      </c>
      <c r="C9" t="s">
        <v>14</v>
      </c>
      <c r="D9" t="s">
        <v>10</v>
      </c>
      <c r="E9" t="s">
        <v>42</v>
      </c>
      <c r="F9" t="s">
        <v>17</v>
      </c>
      <c r="G9">
        <v>448.66</v>
      </c>
      <c r="H9">
        <v>2642.59</v>
      </c>
    </row>
    <row r="10" spans="1:8" x14ac:dyDescent="0.35">
      <c r="A10" s="1">
        <v>45669</v>
      </c>
      <c r="B10" t="s">
        <v>39</v>
      </c>
      <c r="C10" t="s">
        <v>9</v>
      </c>
      <c r="D10" t="s">
        <v>10</v>
      </c>
      <c r="E10" t="s">
        <v>40</v>
      </c>
      <c r="F10" t="s">
        <v>17</v>
      </c>
      <c r="G10">
        <v>465.74</v>
      </c>
      <c r="H10">
        <v>-494.94</v>
      </c>
    </row>
    <row r="11" spans="1:8" x14ac:dyDescent="0.35">
      <c r="A11" s="1">
        <v>45668</v>
      </c>
      <c r="B11" t="s">
        <v>37</v>
      </c>
      <c r="C11" t="s">
        <v>9</v>
      </c>
      <c r="D11" t="s">
        <v>10</v>
      </c>
      <c r="E11" t="s">
        <v>38</v>
      </c>
      <c r="F11" t="s">
        <v>32</v>
      </c>
      <c r="G11">
        <v>379.64</v>
      </c>
      <c r="H11">
        <v>1812.38</v>
      </c>
    </row>
    <row r="12" spans="1:8" x14ac:dyDescent="0.35">
      <c r="A12" s="1">
        <v>45667</v>
      </c>
      <c r="B12" t="s">
        <v>35</v>
      </c>
      <c r="C12" t="s">
        <v>22</v>
      </c>
      <c r="D12" t="s">
        <v>15</v>
      </c>
      <c r="E12" t="s">
        <v>36</v>
      </c>
      <c r="F12" t="s">
        <v>12</v>
      </c>
      <c r="G12">
        <v>351.96</v>
      </c>
      <c r="H12">
        <v>1111.95</v>
      </c>
    </row>
    <row r="13" spans="1:8" x14ac:dyDescent="0.35">
      <c r="A13" s="1">
        <v>45666</v>
      </c>
      <c r="B13" t="s">
        <v>33</v>
      </c>
      <c r="C13" t="s">
        <v>22</v>
      </c>
      <c r="D13" t="s">
        <v>10</v>
      </c>
      <c r="E13" t="s">
        <v>34</v>
      </c>
      <c r="F13" t="s">
        <v>17</v>
      </c>
      <c r="G13">
        <v>132.08000000000001</v>
      </c>
      <c r="H13">
        <v>388.34</v>
      </c>
    </row>
    <row r="14" spans="1:8" x14ac:dyDescent="0.35">
      <c r="A14" s="1">
        <v>45665</v>
      </c>
      <c r="B14" t="s">
        <v>30</v>
      </c>
      <c r="C14" t="s">
        <v>14</v>
      </c>
      <c r="D14" t="s">
        <v>15</v>
      </c>
      <c r="E14" t="s">
        <v>31</v>
      </c>
      <c r="F14" t="s">
        <v>32</v>
      </c>
      <c r="G14">
        <v>477.8</v>
      </c>
      <c r="H14">
        <v>1964.41</v>
      </c>
    </row>
    <row r="15" spans="1:8" x14ac:dyDescent="0.35">
      <c r="A15" s="1">
        <v>45664</v>
      </c>
      <c r="B15" t="s">
        <v>28</v>
      </c>
      <c r="C15" t="s">
        <v>9</v>
      </c>
      <c r="D15" t="s">
        <v>10</v>
      </c>
      <c r="E15" t="s">
        <v>29</v>
      </c>
      <c r="F15" t="s">
        <v>17</v>
      </c>
      <c r="G15">
        <v>420.38</v>
      </c>
      <c r="H15">
        <v>1995.21</v>
      </c>
    </row>
    <row r="16" spans="1:8" x14ac:dyDescent="0.35">
      <c r="A16" s="1">
        <v>45663</v>
      </c>
      <c r="B16" t="s">
        <v>26</v>
      </c>
      <c r="C16" t="s">
        <v>9</v>
      </c>
      <c r="D16" t="s">
        <v>15</v>
      </c>
      <c r="E16" t="s">
        <v>27</v>
      </c>
      <c r="F16" t="s">
        <v>17</v>
      </c>
      <c r="G16">
        <v>481.43</v>
      </c>
      <c r="H16">
        <v>22.34</v>
      </c>
    </row>
    <row r="17" spans="1:8" x14ac:dyDescent="0.35">
      <c r="A17" s="1">
        <v>45662</v>
      </c>
      <c r="B17" t="s">
        <v>24</v>
      </c>
      <c r="C17" t="s">
        <v>19</v>
      </c>
      <c r="D17" t="s">
        <v>10</v>
      </c>
      <c r="E17" t="s">
        <v>25</v>
      </c>
      <c r="F17" t="s">
        <v>17</v>
      </c>
      <c r="G17">
        <v>428.97</v>
      </c>
      <c r="H17">
        <v>594.66</v>
      </c>
    </row>
    <row r="18" spans="1:8" x14ac:dyDescent="0.35">
      <c r="A18" s="1">
        <v>45661</v>
      </c>
      <c r="B18" t="s">
        <v>21</v>
      </c>
      <c r="C18" t="s">
        <v>22</v>
      </c>
      <c r="D18" t="s">
        <v>10</v>
      </c>
      <c r="E18" t="s">
        <v>23</v>
      </c>
      <c r="F18" t="s">
        <v>17</v>
      </c>
      <c r="G18">
        <v>330.39</v>
      </c>
      <c r="H18">
        <v>1013.5</v>
      </c>
    </row>
    <row r="19" spans="1:8" x14ac:dyDescent="0.35">
      <c r="A19" s="1">
        <v>45660</v>
      </c>
      <c r="B19" t="s">
        <v>18</v>
      </c>
      <c r="C19" t="s">
        <v>19</v>
      </c>
      <c r="D19" t="s">
        <v>10</v>
      </c>
      <c r="E19" t="s">
        <v>20</v>
      </c>
      <c r="F19" t="s">
        <v>12</v>
      </c>
      <c r="G19">
        <v>483.92</v>
      </c>
      <c r="H19">
        <v>667.14</v>
      </c>
    </row>
    <row r="20" spans="1:8" x14ac:dyDescent="0.35">
      <c r="A20" s="1">
        <v>45659</v>
      </c>
      <c r="B20" t="s">
        <v>13</v>
      </c>
      <c r="C20" t="s">
        <v>14</v>
      </c>
      <c r="D20" t="s">
        <v>15</v>
      </c>
      <c r="E20" t="s">
        <v>16</v>
      </c>
      <c r="F20" t="s">
        <v>17</v>
      </c>
      <c r="G20">
        <v>358.39</v>
      </c>
      <c r="H20">
        <v>1138.58</v>
      </c>
    </row>
    <row r="21" spans="1:8" x14ac:dyDescent="0.35">
      <c r="A21" s="1">
        <v>45658</v>
      </c>
      <c r="B21" t="s">
        <v>8</v>
      </c>
      <c r="C21" t="s">
        <v>9</v>
      </c>
      <c r="D21" t="s">
        <v>10</v>
      </c>
      <c r="E21" t="s">
        <v>11</v>
      </c>
      <c r="F21" t="s">
        <v>12</v>
      </c>
      <c r="G21">
        <v>84.39</v>
      </c>
      <c r="H21">
        <v>1000</v>
      </c>
    </row>
  </sheetData>
  <phoneticPr fontId="10" type="noConversion"/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8A7A2-1812-4BE4-A4CA-8FC0972BE681}">
  <sheetPr codeName="Sheet2"/>
  <dimension ref="A1:H21"/>
  <sheetViews>
    <sheetView workbookViewId="0">
      <selection activeCell="H10" sqref="H10"/>
    </sheetView>
  </sheetViews>
  <sheetFormatPr defaultRowHeight="14.5" x14ac:dyDescent="0.35"/>
  <cols>
    <col min="1" max="1" width="10.453125" bestFit="1" customWidth="1"/>
    <col min="2" max="2" width="7.81640625" bestFit="1" customWidth="1"/>
    <col min="3" max="3" width="15" bestFit="1" customWidth="1"/>
    <col min="4" max="4" width="7.1796875" bestFit="1" customWidth="1"/>
    <col min="5" max="5" width="13.08984375" bestFit="1" customWidth="1"/>
    <col min="6" max="6" width="12.08984375" bestFit="1" customWidth="1"/>
    <col min="7" max="7" width="10.90625" bestFit="1" customWidth="1"/>
    <col min="8" max="8" width="10.7265625" bestFit="1" customWidth="1"/>
  </cols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5">
      <c r="A2" s="3">
        <v>45677</v>
      </c>
      <c r="B2" s="4" t="s">
        <v>82</v>
      </c>
      <c r="C2" s="4" t="s">
        <v>9</v>
      </c>
      <c r="D2" s="4" t="s">
        <v>15</v>
      </c>
      <c r="E2" s="4" t="s">
        <v>81</v>
      </c>
      <c r="F2" s="4" t="s">
        <v>17</v>
      </c>
      <c r="G2">
        <v>440</v>
      </c>
      <c r="H2">
        <v>100</v>
      </c>
    </row>
    <row r="3" spans="1:8" x14ac:dyDescent="0.35">
      <c r="A3" s="3">
        <v>45676</v>
      </c>
      <c r="B3" s="4" t="s">
        <v>77</v>
      </c>
      <c r="C3" s="4" t="s">
        <v>22</v>
      </c>
      <c r="D3" s="4" t="s">
        <v>10</v>
      </c>
      <c r="E3" s="4" t="s">
        <v>81</v>
      </c>
      <c r="F3" s="4" t="s">
        <v>12</v>
      </c>
      <c r="G3">
        <v>2419.19</v>
      </c>
      <c r="H3">
        <v>694.6</v>
      </c>
    </row>
    <row r="4" spans="1:8" x14ac:dyDescent="0.35">
      <c r="A4" s="3">
        <v>45675</v>
      </c>
      <c r="B4" s="4" t="s">
        <v>76</v>
      </c>
      <c r="C4" s="4" t="s">
        <v>9</v>
      </c>
      <c r="D4" s="4" t="s">
        <v>10</v>
      </c>
      <c r="E4" s="4" t="s">
        <v>80</v>
      </c>
      <c r="F4" s="4" t="s">
        <v>32</v>
      </c>
      <c r="G4">
        <v>2249.19</v>
      </c>
      <c r="H4">
        <v>-3576.7</v>
      </c>
    </row>
    <row r="5" spans="1:8" x14ac:dyDescent="0.35">
      <c r="A5" s="3">
        <v>45674</v>
      </c>
      <c r="B5" s="4" t="s">
        <v>75</v>
      </c>
      <c r="C5" s="4" t="s">
        <v>22</v>
      </c>
      <c r="D5" s="4" t="s">
        <v>10</v>
      </c>
      <c r="E5" s="4" t="s">
        <v>79</v>
      </c>
      <c r="F5" s="4" t="s">
        <v>12</v>
      </c>
      <c r="G5">
        <v>250.19</v>
      </c>
      <c r="H5">
        <v>356.6</v>
      </c>
    </row>
    <row r="6" spans="1:8" x14ac:dyDescent="0.35">
      <c r="A6" s="3">
        <v>45673</v>
      </c>
      <c r="B6" s="4" t="s">
        <v>74</v>
      </c>
      <c r="C6" s="4" t="s">
        <v>14</v>
      </c>
      <c r="D6" s="4" t="s">
        <v>10</v>
      </c>
      <c r="E6" s="4" t="s">
        <v>78</v>
      </c>
      <c r="F6" s="4" t="s">
        <v>17</v>
      </c>
      <c r="G6">
        <v>249.2</v>
      </c>
      <c r="H6">
        <v>888.8</v>
      </c>
    </row>
    <row r="7" spans="1:8" x14ac:dyDescent="0.35">
      <c r="A7" s="3">
        <v>45672</v>
      </c>
      <c r="B7" s="4" t="s">
        <v>45</v>
      </c>
      <c r="C7" s="4" t="s">
        <v>22</v>
      </c>
      <c r="D7" s="4" t="s">
        <v>10</v>
      </c>
      <c r="E7" s="4" t="s">
        <v>46</v>
      </c>
      <c r="F7" s="4" t="s">
        <v>12</v>
      </c>
      <c r="G7">
        <v>249.19</v>
      </c>
      <c r="H7">
        <v>-390.92</v>
      </c>
    </row>
    <row r="8" spans="1:8" x14ac:dyDescent="0.35">
      <c r="A8" s="3">
        <v>45671</v>
      </c>
      <c r="B8" s="4" t="s">
        <v>43</v>
      </c>
      <c r="C8" s="4" t="s">
        <v>14</v>
      </c>
      <c r="D8" s="4" t="s">
        <v>15</v>
      </c>
      <c r="E8" s="4" t="s">
        <v>44</v>
      </c>
      <c r="F8" s="4" t="s">
        <v>12</v>
      </c>
      <c r="G8">
        <v>346.59</v>
      </c>
      <c r="H8">
        <v>2478.4899999999998</v>
      </c>
    </row>
    <row r="9" spans="1:8" x14ac:dyDescent="0.35">
      <c r="A9" s="3">
        <v>45670</v>
      </c>
      <c r="B9" s="4" t="s">
        <v>41</v>
      </c>
      <c r="C9" s="4" t="s">
        <v>14</v>
      </c>
      <c r="D9" s="4" t="s">
        <v>10</v>
      </c>
      <c r="E9" s="4" t="s">
        <v>42</v>
      </c>
      <c r="F9" s="4" t="s">
        <v>17</v>
      </c>
      <c r="G9">
        <v>448.66</v>
      </c>
      <c r="H9">
        <v>2642.59</v>
      </c>
    </row>
    <row r="10" spans="1:8" x14ac:dyDescent="0.35">
      <c r="A10" s="3">
        <v>45669</v>
      </c>
      <c r="B10" s="4" t="s">
        <v>39</v>
      </c>
      <c r="C10" s="4" t="s">
        <v>9</v>
      </c>
      <c r="D10" s="4" t="s">
        <v>10</v>
      </c>
      <c r="E10" s="4" t="s">
        <v>40</v>
      </c>
      <c r="F10" s="4" t="s">
        <v>17</v>
      </c>
      <c r="G10">
        <v>465.74</v>
      </c>
      <c r="H10">
        <v>-494.94</v>
      </c>
    </row>
    <row r="11" spans="1:8" x14ac:dyDescent="0.35">
      <c r="A11" s="3">
        <v>45668</v>
      </c>
      <c r="B11" s="4" t="s">
        <v>37</v>
      </c>
      <c r="C11" s="4" t="s">
        <v>9</v>
      </c>
      <c r="D11" s="4" t="s">
        <v>10</v>
      </c>
      <c r="E11" s="4" t="s">
        <v>38</v>
      </c>
      <c r="F11" s="4" t="s">
        <v>32</v>
      </c>
      <c r="G11">
        <v>379.64</v>
      </c>
      <c r="H11">
        <v>1812.38</v>
      </c>
    </row>
    <row r="12" spans="1:8" x14ac:dyDescent="0.35">
      <c r="A12" s="3">
        <v>45667</v>
      </c>
      <c r="B12" s="4" t="s">
        <v>35</v>
      </c>
      <c r="C12" s="4" t="s">
        <v>22</v>
      </c>
      <c r="D12" s="4" t="s">
        <v>15</v>
      </c>
      <c r="E12" s="4" t="s">
        <v>36</v>
      </c>
      <c r="F12" s="4" t="s">
        <v>12</v>
      </c>
      <c r="G12">
        <v>351.96</v>
      </c>
      <c r="H12">
        <v>1111.95</v>
      </c>
    </row>
    <row r="13" spans="1:8" x14ac:dyDescent="0.35">
      <c r="A13" s="3">
        <v>45666</v>
      </c>
      <c r="B13" s="4" t="s">
        <v>33</v>
      </c>
      <c r="C13" s="4" t="s">
        <v>22</v>
      </c>
      <c r="D13" s="4" t="s">
        <v>10</v>
      </c>
      <c r="E13" s="4" t="s">
        <v>34</v>
      </c>
      <c r="F13" s="4" t="s">
        <v>17</v>
      </c>
      <c r="G13">
        <v>132.08000000000001</v>
      </c>
      <c r="H13">
        <v>388.34</v>
      </c>
    </row>
    <row r="14" spans="1:8" x14ac:dyDescent="0.35">
      <c r="A14" s="3">
        <v>45665</v>
      </c>
      <c r="B14" s="4" t="s">
        <v>30</v>
      </c>
      <c r="C14" s="4" t="s">
        <v>14</v>
      </c>
      <c r="D14" s="4" t="s">
        <v>15</v>
      </c>
      <c r="E14" s="4" t="s">
        <v>31</v>
      </c>
      <c r="F14" s="4" t="s">
        <v>32</v>
      </c>
      <c r="G14">
        <v>477.8</v>
      </c>
      <c r="H14">
        <v>1964.41</v>
      </c>
    </row>
    <row r="15" spans="1:8" x14ac:dyDescent="0.35">
      <c r="A15" s="3">
        <v>45664</v>
      </c>
      <c r="B15" s="4" t="s">
        <v>28</v>
      </c>
      <c r="C15" s="4" t="s">
        <v>9</v>
      </c>
      <c r="D15" s="4" t="s">
        <v>10</v>
      </c>
      <c r="E15" s="4" t="s">
        <v>29</v>
      </c>
      <c r="F15" s="4" t="s">
        <v>17</v>
      </c>
      <c r="G15">
        <v>420.38</v>
      </c>
      <c r="H15">
        <v>1995.21</v>
      </c>
    </row>
    <row r="16" spans="1:8" x14ac:dyDescent="0.35">
      <c r="A16" s="3">
        <v>45663</v>
      </c>
      <c r="B16" s="4" t="s">
        <v>26</v>
      </c>
      <c r="C16" s="4" t="s">
        <v>9</v>
      </c>
      <c r="D16" s="4" t="s">
        <v>15</v>
      </c>
      <c r="E16" s="4" t="s">
        <v>27</v>
      </c>
      <c r="F16" s="4" t="s">
        <v>17</v>
      </c>
      <c r="G16">
        <v>481.43</v>
      </c>
      <c r="H16">
        <v>22.34</v>
      </c>
    </row>
    <row r="17" spans="1:8" x14ac:dyDescent="0.35">
      <c r="A17" s="3">
        <v>45662</v>
      </c>
      <c r="B17" s="4" t="s">
        <v>24</v>
      </c>
      <c r="C17" s="4" t="s">
        <v>19</v>
      </c>
      <c r="D17" s="4" t="s">
        <v>10</v>
      </c>
      <c r="E17" s="4" t="s">
        <v>25</v>
      </c>
      <c r="F17" s="4" t="s">
        <v>17</v>
      </c>
      <c r="G17">
        <v>428.97</v>
      </c>
      <c r="H17">
        <v>594.66</v>
      </c>
    </row>
    <row r="18" spans="1:8" x14ac:dyDescent="0.35">
      <c r="A18" s="3">
        <v>45661</v>
      </c>
      <c r="B18" s="4" t="s">
        <v>21</v>
      </c>
      <c r="C18" s="4" t="s">
        <v>22</v>
      </c>
      <c r="D18" s="4" t="s">
        <v>10</v>
      </c>
      <c r="E18" s="4" t="s">
        <v>23</v>
      </c>
      <c r="F18" s="4" t="s">
        <v>17</v>
      </c>
      <c r="G18">
        <v>330.39</v>
      </c>
      <c r="H18">
        <v>1013.5</v>
      </c>
    </row>
    <row r="19" spans="1:8" x14ac:dyDescent="0.35">
      <c r="A19" s="3">
        <v>45660</v>
      </c>
      <c r="B19" s="4" t="s">
        <v>18</v>
      </c>
      <c r="C19" s="4" t="s">
        <v>19</v>
      </c>
      <c r="D19" s="4" t="s">
        <v>10</v>
      </c>
      <c r="E19" s="4" t="s">
        <v>20</v>
      </c>
      <c r="F19" s="4" t="s">
        <v>12</v>
      </c>
      <c r="G19">
        <v>483.92</v>
      </c>
      <c r="H19">
        <v>667.14</v>
      </c>
    </row>
    <row r="20" spans="1:8" x14ac:dyDescent="0.35">
      <c r="A20" s="3">
        <v>45659</v>
      </c>
      <c r="B20" s="4" t="s">
        <v>13</v>
      </c>
      <c r="C20" s="4" t="s">
        <v>14</v>
      </c>
      <c r="D20" s="4" t="s">
        <v>15</v>
      </c>
      <c r="E20" s="4" t="s">
        <v>16</v>
      </c>
      <c r="F20" s="4" t="s">
        <v>17</v>
      </c>
      <c r="G20">
        <v>358.39</v>
      </c>
      <c r="H20">
        <v>1138.58</v>
      </c>
    </row>
    <row r="21" spans="1:8" x14ac:dyDescent="0.35">
      <c r="A21" s="3">
        <v>45658</v>
      </c>
      <c r="B21" s="4" t="s">
        <v>8</v>
      </c>
      <c r="C21" s="4" t="s">
        <v>9</v>
      </c>
      <c r="D21" s="4" t="s">
        <v>10</v>
      </c>
      <c r="E21" s="4" t="s">
        <v>11</v>
      </c>
      <c r="F21" s="4" t="s">
        <v>12</v>
      </c>
      <c r="G21">
        <v>84.39</v>
      </c>
      <c r="H21">
        <v>1000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M31"/>
  <sheetViews>
    <sheetView tabSelected="1" workbookViewId="0">
      <selection activeCell="L16" sqref="L16"/>
    </sheetView>
  </sheetViews>
  <sheetFormatPr defaultRowHeight="14.5" x14ac:dyDescent="0.35"/>
  <cols>
    <col min="2" max="2" width="17.81640625" bestFit="1" customWidth="1"/>
    <col min="3" max="3" width="12.1796875" customWidth="1"/>
    <col min="4" max="4" width="17.54296875" customWidth="1"/>
    <col min="5" max="5" width="6.90625" customWidth="1"/>
    <col min="6" max="6" width="17.453125" customWidth="1"/>
    <col min="7" max="7" width="17.7265625" customWidth="1"/>
    <col min="8" max="8" width="15.7265625" customWidth="1"/>
    <col min="9" max="9" width="14.453125" customWidth="1"/>
    <col min="10" max="10" width="19.453125" customWidth="1"/>
    <col min="11" max="11" width="14.54296875" customWidth="1"/>
    <col min="12" max="12" width="22.90625" customWidth="1"/>
    <col min="13" max="13" width="18" customWidth="1"/>
  </cols>
  <sheetData>
    <row r="1" spans="2:13" ht="24.5" customHeight="1" x14ac:dyDescent="0.35">
      <c r="F1" s="12"/>
      <c r="G1" s="12"/>
      <c r="H1" s="12"/>
      <c r="I1" s="12"/>
    </row>
    <row r="2" spans="2:13" ht="14.5" customHeight="1" x14ac:dyDescent="0.35">
      <c r="B2" s="5" t="s">
        <v>67</v>
      </c>
      <c r="C2" s="5" t="s">
        <v>71</v>
      </c>
      <c r="E2" s="5"/>
    </row>
    <row r="3" spans="2:13" x14ac:dyDescent="0.35">
      <c r="B3" s="5" t="s">
        <v>68</v>
      </c>
      <c r="C3" s="5" t="s">
        <v>72</v>
      </c>
      <c r="D3" s="14"/>
    </row>
    <row r="4" spans="2:13" x14ac:dyDescent="0.35">
      <c r="B4" s="5" t="s">
        <v>69</v>
      </c>
      <c r="C4">
        <v>2100004061</v>
      </c>
      <c r="D4" s="6" t="s">
        <v>22</v>
      </c>
    </row>
    <row r="5" spans="2:13" x14ac:dyDescent="0.35">
      <c r="B5" s="5" t="s">
        <v>70</v>
      </c>
      <c r="C5">
        <v>5328</v>
      </c>
    </row>
    <row r="9" spans="2:13" ht="10.5" customHeight="1" x14ac:dyDescent="0.35"/>
    <row r="10" spans="2:13" s="10" customFormat="1" ht="21.5" customHeight="1" x14ac:dyDescent="0.35">
      <c r="E10" s="11" t="s">
        <v>73</v>
      </c>
    </row>
    <row r="11" spans="2:13" x14ac:dyDescent="0.35">
      <c r="B11" s="8" t="s">
        <v>0</v>
      </c>
      <c r="C11" s="8" t="s">
        <v>1</v>
      </c>
      <c r="D11" s="8" t="s">
        <v>2</v>
      </c>
      <c r="E11" s="8" t="s">
        <v>3</v>
      </c>
      <c r="F11" s="8" t="s">
        <v>4</v>
      </c>
      <c r="G11" s="8" t="s">
        <v>5</v>
      </c>
      <c r="H11" s="8" t="s">
        <v>6</v>
      </c>
      <c r="I11" s="8" t="s">
        <v>7</v>
      </c>
      <c r="J11" s="8" t="s">
        <v>47</v>
      </c>
      <c r="K11" s="8" t="s">
        <v>48</v>
      </c>
      <c r="L11" s="8" t="s">
        <v>49</v>
      </c>
      <c r="M11" s="9" t="s">
        <v>50</v>
      </c>
    </row>
    <row r="12" spans="2:13" x14ac:dyDescent="0.35">
      <c r="B12" s="15">
        <v>45677</v>
      </c>
      <c r="C12" s="16" t="s">
        <v>82</v>
      </c>
      <c r="D12" s="16" t="s">
        <v>9</v>
      </c>
      <c r="E12" s="16" t="s">
        <v>15</v>
      </c>
      <c r="F12" s="16" t="s">
        <v>81</v>
      </c>
      <c r="G12" s="16" t="s">
        <v>17</v>
      </c>
      <c r="H12" s="16">
        <v>440</v>
      </c>
      <c r="I12" s="16">
        <v>100</v>
      </c>
      <c r="J12" s="16">
        <f>IF(E12="D", I12-H12, IF(E12="C", I12+H12, "Check Type"))</f>
        <v>-340</v>
      </c>
      <c r="K12" s="16" t="str">
        <f>IF(ABS(I12-J12)&lt;0.01, "True", "False")</f>
        <v>False</v>
      </c>
      <c r="L12" s="16"/>
      <c r="M12" s="16"/>
    </row>
    <row r="13" spans="2:13" x14ac:dyDescent="0.35">
      <c r="B13" s="15">
        <v>45676</v>
      </c>
      <c r="C13" s="16" t="s">
        <v>77</v>
      </c>
      <c r="D13" s="17" t="s">
        <v>22</v>
      </c>
      <c r="E13" s="16" t="s">
        <v>10</v>
      </c>
      <c r="F13" s="16" t="s">
        <v>81</v>
      </c>
      <c r="G13" s="16" t="s">
        <v>12</v>
      </c>
      <c r="H13" s="16">
        <v>2419.19</v>
      </c>
      <c r="I13" s="16">
        <v>694.6</v>
      </c>
      <c r="J13" s="16">
        <f>IF(E13="D", I13-H13, IF(E13="C", I13+H13, "Check Type"))</f>
        <v>3113.79</v>
      </c>
      <c r="K13" s="16" t="str">
        <f>IF(ABS(I13-J13)&lt;0.01, "True", "False")</f>
        <v>False</v>
      </c>
      <c r="L13" s="16" t="s">
        <v>66</v>
      </c>
      <c r="M13" s="16" t="s">
        <v>61</v>
      </c>
    </row>
    <row r="14" spans="2:13" x14ac:dyDescent="0.35">
      <c r="B14" s="15">
        <v>45675</v>
      </c>
      <c r="C14" s="16" t="s">
        <v>76</v>
      </c>
      <c r="D14" s="16" t="s">
        <v>9</v>
      </c>
      <c r="E14" s="16" t="s">
        <v>10</v>
      </c>
      <c r="F14" s="16" t="s">
        <v>80</v>
      </c>
      <c r="G14" s="16" t="s">
        <v>32</v>
      </c>
      <c r="H14" s="16">
        <v>2249.19</v>
      </c>
      <c r="I14" s="16">
        <v>-3576.7</v>
      </c>
      <c r="J14" s="16">
        <f>IF(E14="D", I14-H14, IF(E14="C", I14+H14, "Check Type"))</f>
        <v>-1327.5099999999998</v>
      </c>
      <c r="K14" s="16" t="str">
        <f>IF(ABS(I14-J14)&lt;0.01, "True", "False")</f>
        <v>False</v>
      </c>
      <c r="L14" s="16" t="s">
        <v>65</v>
      </c>
      <c r="M14" s="16" t="s">
        <v>58</v>
      </c>
    </row>
    <row r="15" spans="2:13" x14ac:dyDescent="0.35">
      <c r="B15" s="15">
        <v>45674</v>
      </c>
      <c r="C15" s="16" t="s">
        <v>75</v>
      </c>
      <c r="D15" s="17" t="s">
        <v>22</v>
      </c>
      <c r="E15" s="16" t="s">
        <v>10</v>
      </c>
      <c r="F15" s="16" t="s">
        <v>79</v>
      </c>
      <c r="G15" s="16" t="s">
        <v>12</v>
      </c>
      <c r="H15" s="16">
        <v>250.19</v>
      </c>
      <c r="I15" s="16">
        <v>356.6</v>
      </c>
      <c r="J15" s="16">
        <f>IF(E15="D", I15-H15, IF(E15="C", I15+H15, "Check Type"))</f>
        <v>606.79</v>
      </c>
      <c r="K15" s="16" t="str">
        <f>IF(ABS(I15-J15)&lt;0.01, "True", "False")</f>
        <v>False</v>
      </c>
      <c r="L15" s="16" t="s">
        <v>64</v>
      </c>
      <c r="M15" s="16" t="s">
        <v>53</v>
      </c>
    </row>
    <row r="16" spans="2:13" x14ac:dyDescent="0.35">
      <c r="B16" s="15">
        <v>45673</v>
      </c>
      <c r="C16" s="16" t="s">
        <v>74</v>
      </c>
      <c r="D16" s="16" t="s">
        <v>14</v>
      </c>
      <c r="E16" s="16" t="s">
        <v>10</v>
      </c>
      <c r="F16" s="16" t="s">
        <v>78</v>
      </c>
      <c r="G16" s="16" t="s">
        <v>17</v>
      </c>
      <c r="H16" s="16">
        <v>249.2</v>
      </c>
      <c r="I16" s="16">
        <v>888.8</v>
      </c>
      <c r="J16" s="16">
        <f>IF(E16="D", I16-H16, IF(E16="C", I16+H16, "Check Type"))</f>
        <v>1138</v>
      </c>
      <c r="K16" s="16" t="str">
        <f>IF(ABS(I16-J16)&lt;0.01, "True", "False")</f>
        <v>False</v>
      </c>
      <c r="L16" s="16" t="s">
        <v>63</v>
      </c>
      <c r="M16" s="16" t="s">
        <v>61</v>
      </c>
    </row>
    <row r="17" spans="2:13" x14ac:dyDescent="0.35">
      <c r="B17" s="15">
        <v>45672</v>
      </c>
      <c r="C17" s="16" t="s">
        <v>45</v>
      </c>
      <c r="D17" s="17" t="s">
        <v>22</v>
      </c>
      <c r="E17" s="16" t="s">
        <v>10</v>
      </c>
      <c r="F17" s="16" t="s">
        <v>46</v>
      </c>
      <c r="G17" s="16" t="s">
        <v>12</v>
      </c>
      <c r="H17" s="16">
        <v>249.19</v>
      </c>
      <c r="I17" s="16">
        <v>-390.92</v>
      </c>
      <c r="J17" s="16">
        <f>IF(E17="D", I17-H17, IF(E17="C", I17+H17, "Check Type"))</f>
        <v>-141.73000000000002</v>
      </c>
      <c r="K17" s="16" t="str">
        <f>IF(ABS(I17-J17)&lt;0.01, "True", "False")</f>
        <v>False</v>
      </c>
      <c r="L17" s="16" t="s">
        <v>62</v>
      </c>
      <c r="M17" s="16" t="s">
        <v>58</v>
      </c>
    </row>
    <row r="18" spans="2:13" x14ac:dyDescent="0.35">
      <c r="B18" s="15">
        <v>45671</v>
      </c>
      <c r="C18" s="16" t="s">
        <v>43</v>
      </c>
      <c r="D18" s="16" t="s">
        <v>14</v>
      </c>
      <c r="E18" s="16" t="s">
        <v>15</v>
      </c>
      <c r="F18" s="16" t="s">
        <v>44</v>
      </c>
      <c r="G18" s="16" t="s">
        <v>12</v>
      </c>
      <c r="H18" s="16">
        <v>346.59</v>
      </c>
      <c r="I18" s="16">
        <v>2478.4899999999998</v>
      </c>
      <c r="J18" s="16">
        <f>IF(E18="D", I18-H18, IF(E18="C", I18+H18, "Check Type"))</f>
        <v>2131.8999999999996</v>
      </c>
      <c r="K18" s="16" t="str">
        <f>IF(ABS(I18-J18)&lt;0.01, "True", "False")</f>
        <v>False</v>
      </c>
      <c r="L18" s="16" t="s">
        <v>60</v>
      </c>
      <c r="M18" s="16" t="s">
        <v>61</v>
      </c>
    </row>
    <row r="19" spans="2:13" x14ac:dyDescent="0.35">
      <c r="B19" s="15">
        <v>45670</v>
      </c>
      <c r="C19" s="16" t="s">
        <v>41</v>
      </c>
      <c r="D19" s="16" t="s">
        <v>14</v>
      </c>
      <c r="E19" s="16" t="s">
        <v>10</v>
      </c>
      <c r="F19" s="16" t="s">
        <v>42</v>
      </c>
      <c r="G19" s="16" t="s">
        <v>17</v>
      </c>
      <c r="H19" s="16">
        <v>448.66</v>
      </c>
      <c r="I19" s="16">
        <v>2642.59</v>
      </c>
      <c r="J19" s="16">
        <f>IF(E19="D", I19-H19, IF(E19="C", I19+H19, "Check Type"))</f>
        <v>3091.25</v>
      </c>
      <c r="K19" s="16" t="str">
        <f>IF(ABS(I19-J19)&lt;0.01, "True", "False")</f>
        <v>False</v>
      </c>
      <c r="L19" s="16" t="s">
        <v>59</v>
      </c>
      <c r="M19" s="16" t="s">
        <v>53</v>
      </c>
    </row>
    <row r="20" spans="2:13" x14ac:dyDescent="0.35">
      <c r="B20" s="15">
        <v>45669</v>
      </c>
      <c r="C20" s="16" t="s">
        <v>39</v>
      </c>
      <c r="D20" s="16" t="s">
        <v>9</v>
      </c>
      <c r="E20" s="16" t="s">
        <v>10</v>
      </c>
      <c r="F20" s="16" t="s">
        <v>40</v>
      </c>
      <c r="G20" s="16" t="s">
        <v>17</v>
      </c>
      <c r="H20" s="16">
        <v>465.74</v>
      </c>
      <c r="I20" s="16">
        <v>-494.94</v>
      </c>
      <c r="J20" s="16">
        <f>IF(E20="D", I20-H20, IF(E20="C", I20+H20, "Check Type"))</f>
        <v>-29.199999999999989</v>
      </c>
      <c r="K20" s="16" t="str">
        <f>IF(ABS(I20-J20)&lt;0.01, "True", "False")</f>
        <v>False</v>
      </c>
      <c r="L20" s="16" t="s">
        <v>57</v>
      </c>
      <c r="M20" s="16" t="s">
        <v>58</v>
      </c>
    </row>
    <row r="21" spans="2:13" x14ac:dyDescent="0.35">
      <c r="B21" s="15">
        <v>45668</v>
      </c>
      <c r="C21" s="16" t="s">
        <v>37</v>
      </c>
      <c r="D21" s="16" t="s">
        <v>9</v>
      </c>
      <c r="E21" s="16" t="s">
        <v>10</v>
      </c>
      <c r="F21" s="16" t="s">
        <v>38</v>
      </c>
      <c r="G21" s="16" t="s">
        <v>32</v>
      </c>
      <c r="H21" s="16">
        <v>379.64</v>
      </c>
      <c r="I21" s="16">
        <v>1812.38</v>
      </c>
      <c r="J21" s="16">
        <f>IF(E21="D", I21-H21, IF(E21="C", I21+H21, "Check Type"))</f>
        <v>2192.02</v>
      </c>
      <c r="K21" s="16" t="str">
        <f>IF(ABS(I21-J21)&lt;0.01, "True", "False")</f>
        <v>False</v>
      </c>
      <c r="L21" s="16" t="s">
        <v>55</v>
      </c>
      <c r="M21" s="16" t="s">
        <v>53</v>
      </c>
    </row>
    <row r="22" spans="2:13" x14ac:dyDescent="0.35">
      <c r="B22" s="15">
        <v>45667</v>
      </c>
      <c r="C22" s="16" t="s">
        <v>35</v>
      </c>
      <c r="D22" s="17" t="s">
        <v>22</v>
      </c>
      <c r="E22" s="16" t="s">
        <v>15</v>
      </c>
      <c r="F22" s="16" t="s">
        <v>36</v>
      </c>
      <c r="G22" s="16" t="s">
        <v>12</v>
      </c>
      <c r="H22" s="16">
        <v>351.96</v>
      </c>
      <c r="I22" s="16">
        <v>1111.95</v>
      </c>
      <c r="J22" s="16">
        <f>IF(E22="D", I22-H22, IF(E22="C", I22+H22, "Check Type"))</f>
        <v>759.99</v>
      </c>
      <c r="K22" s="16" t="str">
        <f>IF(ABS(I22-J22)&lt;0.01, "True", "False")</f>
        <v>False</v>
      </c>
      <c r="L22" t="s">
        <v>52</v>
      </c>
      <c r="M22" s="16" t="s">
        <v>53</v>
      </c>
    </row>
    <row r="23" spans="2:13" x14ac:dyDescent="0.35">
      <c r="B23" s="15">
        <v>45666</v>
      </c>
      <c r="C23" s="16" t="s">
        <v>33</v>
      </c>
      <c r="D23" s="17" t="s">
        <v>22</v>
      </c>
      <c r="E23" s="16" t="s">
        <v>10</v>
      </c>
      <c r="F23" s="16" t="s">
        <v>34</v>
      </c>
      <c r="G23" s="16" t="s">
        <v>17</v>
      </c>
      <c r="H23" s="16">
        <v>132.08000000000001</v>
      </c>
      <c r="I23" s="16">
        <v>388.34</v>
      </c>
      <c r="J23" s="16">
        <f>IF(E23="D", I23-H23, IF(E23="C", I23+H23, "Check Type"))</f>
        <v>520.41999999999996</v>
      </c>
      <c r="K23" s="16" t="str">
        <f>IF(ABS(I23-J23)&lt;0.01, "True", "False")</f>
        <v>False</v>
      </c>
      <c r="L23" s="16"/>
      <c r="M23" s="16"/>
    </row>
    <row r="24" spans="2:13" x14ac:dyDescent="0.35">
      <c r="B24" s="15">
        <v>45665</v>
      </c>
      <c r="C24" s="16" t="s">
        <v>30</v>
      </c>
      <c r="D24" s="16" t="s">
        <v>14</v>
      </c>
      <c r="E24" s="16" t="s">
        <v>15</v>
      </c>
      <c r="F24" s="16" t="s">
        <v>31</v>
      </c>
      <c r="G24" s="16" t="s">
        <v>32</v>
      </c>
      <c r="H24" s="16">
        <v>477.8</v>
      </c>
      <c r="I24" s="16">
        <v>1964.41</v>
      </c>
      <c r="J24" s="16">
        <f>IF(E24="D", I24-H24, IF(E24="C", I24+H24, "Check Type"))</f>
        <v>1486.6100000000001</v>
      </c>
      <c r="K24" s="16" t="str">
        <f>IF(ABS(I24-J24)&lt;0.01, "True", "False")</f>
        <v>False</v>
      </c>
      <c r="L24" s="16"/>
      <c r="M24" s="16"/>
    </row>
    <row r="25" spans="2:13" x14ac:dyDescent="0.35">
      <c r="B25" s="15">
        <v>45664</v>
      </c>
      <c r="C25" s="16" t="s">
        <v>28</v>
      </c>
      <c r="D25" s="16" t="s">
        <v>9</v>
      </c>
      <c r="E25" s="16" t="s">
        <v>10</v>
      </c>
      <c r="F25" s="16" t="s">
        <v>29</v>
      </c>
      <c r="G25" s="16" t="s">
        <v>17</v>
      </c>
      <c r="H25" s="16">
        <v>420.38</v>
      </c>
      <c r="I25" s="16">
        <v>1995.21</v>
      </c>
      <c r="J25" s="16">
        <f>IF(E25="D", I25-H25, IF(E25="C", I25+H25, "Check Type"))</f>
        <v>2415.59</v>
      </c>
      <c r="K25" s="16" t="str">
        <f>IF(ABS(I25-J25)&lt;0.01, "True", "False")</f>
        <v>False</v>
      </c>
      <c r="L25" s="16"/>
      <c r="M25" s="16"/>
    </row>
    <row r="26" spans="2:13" x14ac:dyDescent="0.35">
      <c r="B26" s="15">
        <v>45663</v>
      </c>
      <c r="C26" s="16" t="s">
        <v>26</v>
      </c>
      <c r="D26" s="16" t="s">
        <v>9</v>
      </c>
      <c r="E26" s="16" t="s">
        <v>15</v>
      </c>
      <c r="F26" s="16" t="s">
        <v>27</v>
      </c>
      <c r="G26" s="16" t="s">
        <v>17</v>
      </c>
      <c r="H26" s="16">
        <v>481.43</v>
      </c>
      <c r="I26" s="16">
        <v>22.34</v>
      </c>
      <c r="J26" s="16">
        <f>IF(E26="D", I26-H26, IF(E26="C", I26+H26, "Check Type"))</f>
        <v>-459.09000000000003</v>
      </c>
      <c r="K26" s="16" t="str">
        <f>IF(ABS(I26-J26)&lt;0.01, "True", "False")</f>
        <v>False</v>
      </c>
      <c r="L26" s="16"/>
      <c r="M26" s="16"/>
    </row>
    <row r="27" spans="2:13" x14ac:dyDescent="0.35">
      <c r="B27" s="15">
        <v>45662</v>
      </c>
      <c r="C27" s="16" t="s">
        <v>24</v>
      </c>
      <c r="D27" s="16" t="s">
        <v>19</v>
      </c>
      <c r="E27" s="16" t="s">
        <v>10</v>
      </c>
      <c r="F27" s="16" t="s">
        <v>25</v>
      </c>
      <c r="G27" s="16" t="s">
        <v>17</v>
      </c>
      <c r="H27" s="16">
        <v>428.97</v>
      </c>
      <c r="I27" s="16">
        <v>594.66</v>
      </c>
      <c r="J27" s="16">
        <f>IF(E27="D", I27-H27, IF(E27="C", I27+H27, "Check Type"))</f>
        <v>1023.63</v>
      </c>
      <c r="K27" s="16" t="str">
        <f>IF(ABS(I27-J27)&lt;0.01, "True", "False")</f>
        <v>False</v>
      </c>
      <c r="L27" s="16"/>
      <c r="M27" s="16"/>
    </row>
    <row r="28" spans="2:13" x14ac:dyDescent="0.35">
      <c r="B28" s="15">
        <v>45661</v>
      </c>
      <c r="C28" s="16" t="s">
        <v>21</v>
      </c>
      <c r="D28" s="17" t="s">
        <v>22</v>
      </c>
      <c r="E28" s="16" t="s">
        <v>10</v>
      </c>
      <c r="F28" s="16" t="s">
        <v>23</v>
      </c>
      <c r="G28" s="16" t="s">
        <v>17</v>
      </c>
      <c r="H28" s="16">
        <v>330.39</v>
      </c>
      <c r="I28" s="16">
        <v>1013.5</v>
      </c>
      <c r="J28" s="16">
        <f>IF(E28="D", I28-H28, IF(E28="C", I28+H28, "Check Type"))</f>
        <v>1343.8899999999999</v>
      </c>
      <c r="K28" s="16" t="str">
        <f>IF(ABS(I28-J28)&lt;0.01, "True", "False")</f>
        <v>False</v>
      </c>
      <c r="L28" s="16"/>
      <c r="M28" s="16"/>
    </row>
    <row r="29" spans="2:13" x14ac:dyDescent="0.35">
      <c r="B29" s="15">
        <v>45660</v>
      </c>
      <c r="C29" s="16" t="s">
        <v>18</v>
      </c>
      <c r="D29" s="16" t="s">
        <v>19</v>
      </c>
      <c r="E29" s="16" t="s">
        <v>10</v>
      </c>
      <c r="F29" s="16" t="s">
        <v>20</v>
      </c>
      <c r="G29" s="16" t="s">
        <v>12</v>
      </c>
      <c r="H29" s="16">
        <v>483.92</v>
      </c>
      <c r="I29" s="16">
        <v>667.14</v>
      </c>
      <c r="J29" s="16">
        <f>IF(E29="D", I29-H29, IF(E29="C", I29+H29, "Check Type"))</f>
        <v>1151.06</v>
      </c>
      <c r="K29" s="16" t="str">
        <f>IF(ABS(I29-J29)&lt;0.01, "True", "False")</f>
        <v>False</v>
      </c>
      <c r="L29" s="16"/>
      <c r="M29" s="16"/>
    </row>
    <row r="30" spans="2:13" x14ac:dyDescent="0.35">
      <c r="B30" s="15">
        <v>45659</v>
      </c>
      <c r="C30" s="16" t="s">
        <v>13</v>
      </c>
      <c r="D30" s="16" t="s">
        <v>14</v>
      </c>
      <c r="E30" s="16" t="s">
        <v>15</v>
      </c>
      <c r="F30" s="16" t="s">
        <v>16</v>
      </c>
      <c r="G30" s="16" t="s">
        <v>17</v>
      </c>
      <c r="H30" s="16">
        <v>358.39</v>
      </c>
      <c r="I30" s="16">
        <v>1138.58</v>
      </c>
      <c r="J30" s="16">
        <f>IF(E30="D", I30-H30, IF(E30="C", I30+H30, "Check Type"))</f>
        <v>780.18999999999994</v>
      </c>
      <c r="K30" s="16" t="str">
        <f>IF(ABS(I30-J30)&lt;0.01, "True", "False")</f>
        <v>False</v>
      </c>
      <c r="L30" s="16"/>
      <c r="M30" s="16"/>
    </row>
    <row r="31" spans="2:13" x14ac:dyDescent="0.35">
      <c r="B31" s="15">
        <v>45658</v>
      </c>
      <c r="C31" s="16" t="s">
        <v>8</v>
      </c>
      <c r="D31" s="16" t="s">
        <v>9</v>
      </c>
      <c r="E31" s="16" t="s">
        <v>10</v>
      </c>
      <c r="F31" s="16" t="s">
        <v>11</v>
      </c>
      <c r="G31" s="16" t="s">
        <v>12</v>
      </c>
      <c r="H31" s="16">
        <v>84.39</v>
      </c>
      <c r="I31" s="16">
        <v>1000</v>
      </c>
      <c r="J31" s="16">
        <f>IF(E31="D", I31-H31, IF(E31="C", I31+H31, "Check Type"))</f>
        <v>1084.3900000000001</v>
      </c>
      <c r="K31" s="16" t="str">
        <f>IF(ABS(I31-J31)&lt;0.01, "True", "False")</f>
        <v>False</v>
      </c>
      <c r="L31" s="16"/>
      <c r="M31" s="16"/>
    </row>
  </sheetData>
  <phoneticPr fontId="10" type="noConversion"/>
  <conditionalFormatting sqref="K12:K31">
    <cfRule type="containsText" dxfId="6" priority="1" stopIfTrue="1" operator="containsText" text="False">
      <formula>NOT(ISERROR(SEARCH("False",K12)))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_CleanData">
                <anchor moveWithCells="1" sizeWithCells="1">
                  <from>
                    <xdr:col>5</xdr:col>
                    <xdr:colOff>50800</xdr:colOff>
                    <xdr:row>0</xdr:row>
                    <xdr:rowOff>50800</xdr:rowOff>
                  </from>
                  <to>
                    <xdr:col>5</xdr:col>
                    <xdr:colOff>1104900</xdr:colOff>
                    <xdr:row>0</xdr:row>
                    <xdr:rowOff>273050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ppendNewTransactions_TableSafe">
                <anchor moveWithCells="1" sizeWithCells="1">
                  <from>
                    <xdr:col>6</xdr:col>
                    <xdr:colOff>31750</xdr:colOff>
                    <xdr:row>0</xdr:row>
                    <xdr:rowOff>38100</xdr:rowOff>
                  </from>
                  <to>
                    <xdr:col>6</xdr:col>
                    <xdr:colOff>1187450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alanceValidation">
                <anchor moveWithCells="1" sizeWithCells="1">
                  <from>
                    <xdr:col>7</xdr:col>
                    <xdr:colOff>50800</xdr:colOff>
                    <xdr:row>0</xdr:row>
                    <xdr:rowOff>38100</xdr:rowOff>
                  </from>
                  <to>
                    <xdr:col>7</xdr:col>
                    <xdr:colOff>1009650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LinkEDCtoCheque">
                <anchor moveWithCells="1" sizeWithCells="1">
                  <from>
                    <xdr:col>8</xdr:col>
                    <xdr:colOff>50800</xdr:colOff>
                    <xdr:row>0</xdr:row>
                    <xdr:rowOff>38100</xdr:rowOff>
                  </from>
                  <to>
                    <xdr:col>8</xdr:col>
                    <xdr:colOff>977900</xdr:colOff>
                    <xdr:row>0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SearchEDC">
                <anchor moveWithCells="1" sizeWithCells="1">
                  <from>
                    <xdr:col>3</xdr:col>
                    <xdr:colOff>107950</xdr:colOff>
                    <xdr:row>2</xdr:row>
                    <xdr:rowOff>12700</xdr:rowOff>
                  </from>
                  <to>
                    <xdr:col>3</xdr:col>
                    <xdr:colOff>1104900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E20"/>
  <sheetViews>
    <sheetView workbookViewId="0">
      <selection activeCell="D5" sqref="D5"/>
    </sheetView>
  </sheetViews>
  <sheetFormatPr defaultRowHeight="14.5" x14ac:dyDescent="0.35"/>
  <cols>
    <col min="1" max="1" width="17.81640625" style="3" bestFit="1" customWidth="1"/>
    <col min="2" max="2" width="17.7265625" customWidth="1"/>
    <col min="3" max="3" width="13.54296875" customWidth="1"/>
    <col min="4" max="4" width="16.453125" customWidth="1"/>
    <col min="5" max="5" width="9.08984375" customWidth="1"/>
  </cols>
  <sheetData>
    <row r="2" spans="1:5" x14ac:dyDescent="0.35">
      <c r="A2" s="5" t="s">
        <v>67</v>
      </c>
      <c r="B2" s="5" t="s">
        <v>71</v>
      </c>
    </row>
    <row r="3" spans="1:5" x14ac:dyDescent="0.35">
      <c r="A3" s="5" t="s">
        <v>68</v>
      </c>
      <c r="B3" s="5" t="s">
        <v>72</v>
      </c>
    </row>
    <row r="4" spans="1:5" x14ac:dyDescent="0.35">
      <c r="A4" s="5" t="s">
        <v>69</v>
      </c>
      <c r="B4">
        <v>2100004061</v>
      </c>
      <c r="D4" s="7"/>
    </row>
    <row r="5" spans="1:5" x14ac:dyDescent="0.35">
      <c r="A5" s="5" t="s">
        <v>70</v>
      </c>
      <c r="B5">
        <v>5328</v>
      </c>
      <c r="D5" s="6"/>
    </row>
    <row r="10" spans="1:5" x14ac:dyDescent="0.35">
      <c r="A10" s="13" t="s">
        <v>0</v>
      </c>
      <c r="B10" s="2" t="s">
        <v>49</v>
      </c>
      <c r="C10" s="2" t="s">
        <v>50</v>
      </c>
      <c r="D10" s="2" t="s">
        <v>6</v>
      </c>
      <c r="E10" s="2" t="s">
        <v>51</v>
      </c>
    </row>
    <row r="11" spans="1:5" x14ac:dyDescent="0.35">
      <c r="A11" s="3">
        <v>45668</v>
      </c>
      <c r="B11" s="16" t="s">
        <v>66</v>
      </c>
      <c r="C11" s="17" t="s">
        <v>61</v>
      </c>
      <c r="D11" s="16">
        <v>813.08</v>
      </c>
      <c r="E11" s="16" t="s">
        <v>56</v>
      </c>
    </row>
    <row r="12" spans="1:5" x14ac:dyDescent="0.35">
      <c r="A12" s="3">
        <v>45659</v>
      </c>
      <c r="B12" s="16" t="s">
        <v>65</v>
      </c>
      <c r="C12" s="16" t="s">
        <v>58</v>
      </c>
      <c r="D12" s="16">
        <v>659.07</v>
      </c>
      <c r="E12" s="16" t="s">
        <v>54</v>
      </c>
    </row>
    <row r="13" spans="1:5" x14ac:dyDescent="0.35">
      <c r="A13" s="3">
        <v>45665</v>
      </c>
      <c r="B13" s="16" t="s">
        <v>64</v>
      </c>
      <c r="C13" s="16" t="s">
        <v>53</v>
      </c>
      <c r="D13" s="16">
        <v>549.4</v>
      </c>
      <c r="E13" s="16" t="s">
        <v>56</v>
      </c>
    </row>
    <row r="14" spans="1:5" x14ac:dyDescent="0.35">
      <c r="A14" s="3">
        <v>45671</v>
      </c>
      <c r="B14" s="16" t="s">
        <v>63</v>
      </c>
      <c r="C14" s="16" t="s">
        <v>61</v>
      </c>
      <c r="D14" s="16">
        <v>459.94</v>
      </c>
      <c r="E14" s="16" t="s">
        <v>54</v>
      </c>
    </row>
    <row r="15" spans="1:5" x14ac:dyDescent="0.35">
      <c r="A15" s="3">
        <v>45658</v>
      </c>
      <c r="B15" s="16" t="s">
        <v>62</v>
      </c>
      <c r="C15" s="16" t="s">
        <v>58</v>
      </c>
      <c r="D15" s="16">
        <v>982.96</v>
      </c>
      <c r="E15" s="16" t="s">
        <v>54</v>
      </c>
    </row>
    <row r="16" spans="1:5" x14ac:dyDescent="0.35">
      <c r="A16" s="3">
        <v>45667</v>
      </c>
      <c r="B16" s="16" t="s">
        <v>60</v>
      </c>
      <c r="C16" s="16" t="s">
        <v>61</v>
      </c>
      <c r="D16" s="16">
        <v>359.89</v>
      </c>
      <c r="E16" s="16" t="s">
        <v>54</v>
      </c>
    </row>
    <row r="17" spans="1:5" x14ac:dyDescent="0.35">
      <c r="A17" s="3">
        <v>45666</v>
      </c>
      <c r="B17" s="16" t="s">
        <v>59</v>
      </c>
      <c r="C17" s="16" t="s">
        <v>53</v>
      </c>
      <c r="D17" s="16">
        <v>466.93</v>
      </c>
      <c r="E17" s="16" t="s">
        <v>56</v>
      </c>
    </row>
    <row r="18" spans="1:5" x14ac:dyDescent="0.35">
      <c r="A18" s="3">
        <v>45661</v>
      </c>
      <c r="B18" s="16" t="s">
        <v>57</v>
      </c>
      <c r="C18" s="16" t="s">
        <v>58</v>
      </c>
      <c r="D18" s="16">
        <v>123.9</v>
      </c>
      <c r="E18" s="16" t="s">
        <v>54</v>
      </c>
    </row>
    <row r="19" spans="1:5" x14ac:dyDescent="0.35">
      <c r="A19" s="3">
        <v>45668</v>
      </c>
      <c r="B19" s="16" t="s">
        <v>55</v>
      </c>
      <c r="C19" s="16" t="s">
        <v>53</v>
      </c>
      <c r="D19" s="16">
        <v>733.03</v>
      </c>
      <c r="E19" s="16" t="s">
        <v>56</v>
      </c>
    </row>
    <row r="20" spans="1:5" x14ac:dyDescent="0.35">
      <c r="A20" s="3">
        <v>45670</v>
      </c>
      <c r="B20" s="16" t="s">
        <v>52</v>
      </c>
      <c r="C20" s="16" t="s">
        <v>53</v>
      </c>
      <c r="D20" s="16">
        <v>985.15</v>
      </c>
      <c r="E20" s="16" t="s">
        <v>54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archCHEQUES">
                <anchor moveWithCells="1" sizeWithCells="1">
                  <from>
                    <xdr:col>3</xdr:col>
                    <xdr:colOff>38100</xdr:colOff>
                    <xdr:row>3</xdr:row>
                    <xdr:rowOff>6350</xdr:rowOff>
                  </from>
                  <to>
                    <xdr:col>3</xdr:col>
                    <xdr:colOff>1054100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D179E9-C4F7-40BC-B4FF-1738DC903E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Raw_Data</vt:lpstr>
      <vt:lpstr>Cleaned_Data</vt:lpstr>
      <vt:lpstr>EDC</vt:lpstr>
      <vt:lpstr>Cheques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onwubuche nkemjika princess</cp:lastModifiedBy>
  <dcterms:created xsi:type="dcterms:W3CDTF">2025-08-25T11:45:02Z</dcterms:created>
  <dcterms:modified xsi:type="dcterms:W3CDTF">2025-08-27T04:22:17Z</dcterms:modified>
</cp:coreProperties>
</file>